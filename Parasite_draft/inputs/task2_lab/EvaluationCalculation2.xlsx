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AG Müller\Iris\WideField\20210728_host_apoptosis_parasite_proliferation_4\ProliferationMeasurementTunel\Position40\"/>
    </mc:Choice>
  </mc:AlternateContent>
  <bookViews>
    <workbookView xWindow="0" yWindow="0" windowWidth="28800" windowHeight="141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" i="1" l="1"/>
  <c r="N12" i="1"/>
  <c r="M12" i="1"/>
  <c r="L12" i="1"/>
  <c r="R12" i="1" s="1"/>
  <c r="T12" i="1" s="1"/>
  <c r="U12" i="1" s="1"/>
  <c r="K12" i="1"/>
  <c r="J12" i="1"/>
  <c r="I12" i="1"/>
  <c r="H12" i="1"/>
  <c r="Q12" i="1" s="1"/>
  <c r="O11" i="1"/>
  <c r="N11" i="1"/>
  <c r="M11" i="1"/>
  <c r="L11" i="1"/>
  <c r="R11" i="1" s="1"/>
  <c r="K11" i="1"/>
  <c r="J11" i="1"/>
  <c r="I11" i="1"/>
  <c r="H11" i="1"/>
  <c r="Q11" i="1" s="1"/>
  <c r="O10" i="1"/>
  <c r="N10" i="1"/>
  <c r="M10" i="1"/>
  <c r="L10" i="1"/>
  <c r="R10" i="1" s="1"/>
  <c r="K10" i="1"/>
  <c r="J10" i="1"/>
  <c r="I10" i="1"/>
  <c r="H10" i="1"/>
  <c r="Q10" i="1" s="1"/>
  <c r="O9" i="1"/>
  <c r="N9" i="1"/>
  <c r="M9" i="1"/>
  <c r="L9" i="1"/>
  <c r="R9" i="1" s="1"/>
  <c r="T9" i="1" s="1"/>
  <c r="U9" i="1" s="1"/>
  <c r="K9" i="1"/>
  <c r="J9" i="1"/>
  <c r="I9" i="1"/>
  <c r="H9" i="1"/>
  <c r="Q9" i="1" s="1"/>
  <c r="O8" i="1"/>
  <c r="N8" i="1"/>
  <c r="M8" i="1"/>
  <c r="L8" i="1"/>
  <c r="R8" i="1" s="1"/>
  <c r="K8" i="1"/>
  <c r="J8" i="1"/>
  <c r="I8" i="1"/>
  <c r="H8" i="1"/>
  <c r="Q8" i="1" s="1"/>
  <c r="O7" i="1"/>
  <c r="N7" i="1"/>
  <c r="M7" i="1"/>
  <c r="L7" i="1"/>
  <c r="R7" i="1" s="1"/>
  <c r="K7" i="1"/>
  <c r="J7" i="1"/>
  <c r="I7" i="1"/>
  <c r="H7" i="1"/>
  <c r="Q7" i="1" s="1"/>
  <c r="O6" i="1"/>
  <c r="N6" i="1"/>
  <c r="M6" i="1"/>
  <c r="L6" i="1"/>
  <c r="R6" i="1" s="1"/>
  <c r="K6" i="1"/>
  <c r="J6" i="1"/>
  <c r="I6" i="1"/>
  <c r="H6" i="1"/>
  <c r="Q6" i="1" s="1"/>
  <c r="T6" i="1" s="1"/>
  <c r="U6" i="1" s="1"/>
  <c r="O3" i="1"/>
  <c r="N3" i="1"/>
  <c r="M3" i="1"/>
  <c r="L3" i="1"/>
  <c r="R3" i="1" s="1"/>
  <c r="K3" i="1"/>
  <c r="J3" i="1"/>
  <c r="I3" i="1"/>
  <c r="H3" i="1"/>
  <c r="Q3" i="1" s="1"/>
  <c r="T3" i="1" s="1"/>
  <c r="U3" i="1" s="1"/>
  <c r="O2" i="1"/>
  <c r="N2" i="1"/>
  <c r="M2" i="1"/>
  <c r="L2" i="1"/>
  <c r="R2" i="1" s="1"/>
  <c r="K2" i="1"/>
  <c r="J2" i="1"/>
  <c r="I2" i="1"/>
  <c r="H2" i="1"/>
  <c r="Q2" i="1" s="1"/>
  <c r="T7" i="1" l="1"/>
  <c r="U7" i="1" s="1"/>
  <c r="T8" i="1"/>
  <c r="U8" i="1" s="1"/>
  <c r="T11" i="1"/>
  <c r="U11" i="1" s="1"/>
  <c r="T2" i="1"/>
  <c r="U2" i="1" s="1"/>
  <c r="T10" i="1"/>
  <c r="U10" i="1" s="1"/>
</calcChain>
</file>

<file path=xl/sharedStrings.xml><?xml version="1.0" encoding="utf-8"?>
<sst xmlns="http://schemas.openxmlformats.org/spreadsheetml/2006/main" count="40" uniqueCount="40">
  <si>
    <t>Apoptotic1</t>
  </si>
  <si>
    <t>Apoptotic2</t>
  </si>
  <si>
    <t>Control1</t>
  </si>
  <si>
    <t>Control2</t>
  </si>
  <si>
    <t>Control3</t>
  </si>
  <si>
    <t>Control4</t>
  </si>
  <si>
    <t>Control5</t>
  </si>
  <si>
    <t>Control6</t>
  </si>
  <si>
    <t>Control7</t>
  </si>
  <si>
    <t>Red</t>
  </si>
  <si>
    <t>Green</t>
  </si>
  <si>
    <t>Green BG1</t>
  </si>
  <si>
    <t>Green BG2</t>
  </si>
  <si>
    <t>Green BG3</t>
  </si>
  <si>
    <t>Red GB1</t>
  </si>
  <si>
    <t>Red BG2</t>
  </si>
  <si>
    <t>RedBG3</t>
  </si>
  <si>
    <t>Corrected Green</t>
  </si>
  <si>
    <t>Corrected Red</t>
  </si>
  <si>
    <t>R/G</t>
  </si>
  <si>
    <t>10-R/G</t>
  </si>
  <si>
    <t>Roi Order</t>
  </si>
  <si>
    <t>Apoptotic Parasite 1</t>
  </si>
  <si>
    <t>Control area 1  Apoptotic Parasite 1</t>
  </si>
  <si>
    <t>Control area 3  Apoptotic Parasite 1</t>
  </si>
  <si>
    <t>Control area 2  Apoptotic Parasite 1</t>
  </si>
  <si>
    <t>Apoptotic Parasite 2</t>
  </si>
  <si>
    <t>Control area 1  Apoptotic Parasite 2</t>
  </si>
  <si>
    <t>Control area 2  Apoptotic Parasite 2</t>
  </si>
  <si>
    <t>Control area 3  Apoptotic Parasite 2</t>
  </si>
  <si>
    <t>NONApoptotic Parasite 1</t>
  </si>
  <si>
    <t>Control area 1  NONApoptotic Parasite 1</t>
  </si>
  <si>
    <t>Control area 2  NONApoptotic Parasite 1</t>
  </si>
  <si>
    <t>Control area 3  NONApoptotic Parasite 1</t>
  </si>
  <si>
    <t>NONApoptotic Parasite 2</t>
  </si>
  <si>
    <t>Control area 1  NONApoptotic Parasite 2</t>
  </si>
  <si>
    <t>Control area 2  NONApoptotic Parasite 2</t>
  </si>
  <si>
    <t>Control area 3  NONApoptotic Parasite 2</t>
  </si>
  <si>
    <t>…</t>
  </si>
  <si>
    <t>… NONapoptotic Parasite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</si>
</sst>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2"/>
  <sheetViews>
    <sheetView tabSelected="1" topLeftCell="E1" workbookViewId="0">
      <selection sqref="A1:E72"/>
    </sheetView>
  </sheetViews>
  <sheetFormatPr baseColWidth="10" defaultColWidth="9.54296875" defaultRowHeight="13" x14ac:dyDescent="0.3"/>
  <cols>
    <col min="1" max="16384" width="9.54296875" style="1"/>
  </cols>
  <sheetData>
    <row r="1" spans="1:21" x14ac:dyDescent="0.3">
      <c r="A1" s="1">
        <v>1</v>
      </c>
      <c r="B1" s="2">
        <v>6233</v>
      </c>
      <c r="C1" s="2">
        <v>299267</v>
      </c>
      <c r="D1" s="1">
        <v>220</v>
      </c>
      <c r="E1" s="1">
        <v>351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9</v>
      </c>
      <c r="M1" s="1" t="s">
        <v>14</v>
      </c>
      <c r="N1" s="1" t="s">
        <v>15</v>
      </c>
      <c r="O1" s="1" t="s">
        <v>16</v>
      </c>
      <c r="Q1" s="1" t="s">
        <v>17</v>
      </c>
      <c r="R1" s="1" t="s">
        <v>18</v>
      </c>
      <c r="T1" s="1" t="s">
        <v>19</v>
      </c>
      <c r="U1" s="1" t="s">
        <v>20</v>
      </c>
    </row>
    <row r="2" spans="1:21" x14ac:dyDescent="0.3">
      <c r="A2" s="1">
        <v>2</v>
      </c>
      <c r="B2" s="2">
        <v>6233</v>
      </c>
      <c r="C2" s="2">
        <v>269233</v>
      </c>
      <c r="D2" s="1">
        <v>231</v>
      </c>
      <c r="E2" s="1">
        <v>308</v>
      </c>
      <c r="G2" s="1" t="s">
        <v>0</v>
      </c>
      <c r="H2" s="1">
        <f>C1</f>
        <v>299267</v>
      </c>
      <c r="I2" s="1">
        <f>C2</f>
        <v>269233</v>
      </c>
      <c r="J2" s="1">
        <f>C3</f>
        <v>273267</v>
      </c>
      <c r="K2" s="1">
        <f>C4</f>
        <v>275150</v>
      </c>
      <c r="L2" s="1">
        <f>C37</f>
        <v>181050</v>
      </c>
      <c r="M2" s="1">
        <f>C38</f>
        <v>123350</v>
      </c>
      <c r="N2" s="1">
        <f>C39</f>
        <v>123183</v>
      </c>
      <c r="O2" s="1">
        <f>C40</f>
        <v>122950</v>
      </c>
      <c r="Q2" s="1">
        <f>H2-AVERAGE(I2:K2)</f>
        <v>26717</v>
      </c>
      <c r="R2" s="1">
        <f>L2-AVERAGE(M2:O2)</f>
        <v>57889</v>
      </c>
      <c r="T2" s="1">
        <f>R2/Q2</f>
        <v>2.166747763596212</v>
      </c>
      <c r="U2" s="1">
        <f>10-T2</f>
        <v>7.833252236403788</v>
      </c>
    </row>
    <row r="3" spans="1:21" x14ac:dyDescent="0.3">
      <c r="A3" s="1">
        <v>3</v>
      </c>
      <c r="B3" s="2">
        <v>6233</v>
      </c>
      <c r="C3" s="2">
        <v>273267</v>
      </c>
      <c r="D3" s="1">
        <v>213</v>
      </c>
      <c r="E3" s="1">
        <v>331</v>
      </c>
      <c r="G3" s="1" t="s">
        <v>1</v>
      </c>
      <c r="H3" s="1">
        <f>C5</f>
        <v>307174</v>
      </c>
      <c r="I3" s="1">
        <f>C6</f>
        <v>274580</v>
      </c>
      <c r="J3" s="1">
        <f>C7</f>
        <v>273609</v>
      </c>
      <c r="K3" s="1">
        <f>C8</f>
        <v>270928</v>
      </c>
      <c r="L3" s="1">
        <f>C41</f>
        <v>135319</v>
      </c>
      <c r="M3" s="1">
        <f>C42</f>
        <v>122304</v>
      </c>
      <c r="N3" s="1">
        <f>C43</f>
        <v>123145</v>
      </c>
      <c r="O3" s="1">
        <f>C44</f>
        <v>122710</v>
      </c>
      <c r="Q3" s="1">
        <f t="shared" ref="Q3" si="0">H3-AVERAGE(I3:K3)</f>
        <v>34135</v>
      </c>
      <c r="R3" s="1">
        <f t="shared" ref="R3" si="1">L3-AVERAGE(M3:O3)</f>
        <v>12599.333333333328</v>
      </c>
      <c r="T3" s="1">
        <f t="shared" ref="T3" si="2">R3/Q3</f>
        <v>0.3691030711391044</v>
      </c>
      <c r="U3" s="1">
        <f t="shared" ref="U3" si="3">10-T3</f>
        <v>9.6308969288608957</v>
      </c>
    </row>
    <row r="4" spans="1:21" x14ac:dyDescent="0.3">
      <c r="A4" s="1">
        <v>4</v>
      </c>
      <c r="B4" s="2">
        <v>6233</v>
      </c>
      <c r="C4" s="2">
        <v>275150</v>
      </c>
      <c r="D4" s="1">
        <v>228</v>
      </c>
      <c r="E4" s="1">
        <v>326</v>
      </c>
    </row>
    <row r="5" spans="1:21" x14ac:dyDescent="0.3">
      <c r="A5" s="1">
        <v>5</v>
      </c>
      <c r="B5" s="2">
        <v>7168</v>
      </c>
      <c r="C5" s="2">
        <v>307174</v>
      </c>
      <c r="D5" s="1">
        <v>252</v>
      </c>
      <c r="E5" s="1">
        <v>354</v>
      </c>
    </row>
    <row r="6" spans="1:21" x14ac:dyDescent="0.3">
      <c r="A6" s="1">
        <v>6</v>
      </c>
      <c r="B6" s="2">
        <v>7168</v>
      </c>
      <c r="C6" s="2">
        <v>274580</v>
      </c>
      <c r="D6" s="1">
        <v>237</v>
      </c>
      <c r="E6" s="1">
        <v>309</v>
      </c>
      <c r="G6" s="1" t="s">
        <v>2</v>
      </c>
      <c r="H6" s="1">
        <f>C9</f>
        <v>290476</v>
      </c>
      <c r="I6" s="1">
        <f>C10</f>
        <v>267417</v>
      </c>
      <c r="J6" s="1">
        <f>C11</f>
        <v>267917</v>
      </c>
      <c r="K6" s="1">
        <f>C12</f>
        <v>271405</v>
      </c>
      <c r="L6" s="1">
        <f>C45</f>
        <v>209905</v>
      </c>
      <c r="M6" s="1">
        <f>C46</f>
        <v>121607</v>
      </c>
      <c r="N6" s="1">
        <f>C47</f>
        <v>122643</v>
      </c>
      <c r="O6" s="1">
        <f>C48</f>
        <v>123524</v>
      </c>
      <c r="Q6" s="1">
        <f t="shared" ref="Q6:Q12" si="4">H6-AVERAGE(I6:K6)</f>
        <v>21563</v>
      </c>
      <c r="R6" s="1">
        <f t="shared" ref="R6:R12" si="5">L6-AVERAGE(M6:O6)</f>
        <v>87313.666666666672</v>
      </c>
      <c r="T6" s="1">
        <f t="shared" ref="T6:T12" si="6">R6/Q6</f>
        <v>4.0492355732813925</v>
      </c>
      <c r="U6" s="1">
        <f t="shared" ref="U6:U12" si="7">10-T6</f>
        <v>5.9507644267186075</v>
      </c>
    </row>
    <row r="7" spans="1:21" x14ac:dyDescent="0.3">
      <c r="A7" s="1">
        <v>7</v>
      </c>
      <c r="B7" s="2">
        <v>7168</v>
      </c>
      <c r="C7" s="2">
        <v>273609</v>
      </c>
      <c r="D7" s="1">
        <v>231</v>
      </c>
      <c r="E7" s="1">
        <v>305</v>
      </c>
      <c r="G7" s="1" t="s">
        <v>3</v>
      </c>
      <c r="H7" s="1">
        <f>C13</f>
        <v>298853</v>
      </c>
      <c r="I7" s="1">
        <f>C14</f>
        <v>267578</v>
      </c>
      <c r="J7" s="1">
        <f>C15</f>
        <v>271931</v>
      </c>
      <c r="K7" s="1">
        <f>C16</f>
        <v>266471</v>
      </c>
      <c r="L7" s="1">
        <f>C49</f>
        <v>199804</v>
      </c>
      <c r="M7" s="1">
        <f>C50</f>
        <v>122873</v>
      </c>
      <c r="N7" s="1">
        <f>C51</f>
        <v>122814</v>
      </c>
      <c r="O7" s="1">
        <f>C52</f>
        <v>122608</v>
      </c>
      <c r="Q7" s="1">
        <f t="shared" si="4"/>
        <v>30193</v>
      </c>
      <c r="R7" s="1">
        <f t="shared" si="5"/>
        <v>77039</v>
      </c>
      <c r="T7" s="1">
        <f t="shared" si="6"/>
        <v>2.5515516841652039</v>
      </c>
      <c r="U7" s="1">
        <f t="shared" si="7"/>
        <v>7.4484483158347956</v>
      </c>
    </row>
    <row r="8" spans="1:21" x14ac:dyDescent="0.3">
      <c r="A8" s="1">
        <v>8</v>
      </c>
      <c r="B8" s="2">
        <v>7168</v>
      </c>
      <c r="C8" s="2">
        <v>270928</v>
      </c>
      <c r="D8" s="1">
        <v>203</v>
      </c>
      <c r="E8" s="1">
        <v>314</v>
      </c>
      <c r="G8" s="1" t="s">
        <v>4</v>
      </c>
      <c r="H8" s="1">
        <f>C17</f>
        <v>283988</v>
      </c>
      <c r="I8" s="1">
        <f>C18</f>
        <v>271302</v>
      </c>
      <c r="J8" s="1">
        <f>C19</f>
        <v>267058</v>
      </c>
      <c r="K8" s="1">
        <f>C20</f>
        <v>271884</v>
      </c>
      <c r="L8" s="1">
        <f>C53</f>
        <v>174453</v>
      </c>
      <c r="M8" s="1">
        <f>C54</f>
        <v>123698</v>
      </c>
      <c r="N8" s="1">
        <f>C55</f>
        <v>122791</v>
      </c>
      <c r="O8" s="1">
        <f>C56</f>
        <v>121209</v>
      </c>
      <c r="Q8" s="1">
        <f t="shared" si="4"/>
        <v>13906.666666666686</v>
      </c>
      <c r="R8" s="1">
        <f t="shared" si="5"/>
        <v>51887</v>
      </c>
      <c r="T8" s="1">
        <f t="shared" si="6"/>
        <v>3.7310882070949134</v>
      </c>
      <c r="U8" s="1">
        <f t="shared" si="7"/>
        <v>6.2689117929050866</v>
      </c>
    </row>
    <row r="9" spans="1:21" x14ac:dyDescent="0.3">
      <c r="A9" s="1">
        <v>9</v>
      </c>
      <c r="B9" s="2">
        <v>8726</v>
      </c>
      <c r="C9" s="2">
        <v>290476</v>
      </c>
      <c r="D9" s="1">
        <v>242</v>
      </c>
      <c r="E9" s="1">
        <v>330</v>
      </c>
      <c r="G9" s="1" t="s">
        <v>5</v>
      </c>
      <c r="H9" s="1">
        <f>C21</f>
        <v>278625</v>
      </c>
      <c r="I9" s="1">
        <f>C22</f>
        <v>273229</v>
      </c>
      <c r="J9" s="1">
        <f>C23</f>
        <v>272604</v>
      </c>
      <c r="K9" s="1">
        <f>C24</f>
        <v>273562</v>
      </c>
      <c r="L9" s="1">
        <f>C57</f>
        <v>158646</v>
      </c>
      <c r="M9" s="1">
        <f>C58</f>
        <v>123281</v>
      </c>
      <c r="N9" s="1">
        <f>C59</f>
        <v>123521</v>
      </c>
      <c r="O9" s="1">
        <f>C60</f>
        <v>122500</v>
      </c>
      <c r="Q9" s="1">
        <f t="shared" si="4"/>
        <v>5493.3333333333139</v>
      </c>
      <c r="R9" s="1">
        <f t="shared" si="5"/>
        <v>35545.333333333328</v>
      </c>
      <c r="T9" s="1">
        <f t="shared" si="6"/>
        <v>6.4706310679611869</v>
      </c>
      <c r="U9" s="1">
        <f t="shared" si="7"/>
        <v>3.5293689320388131</v>
      </c>
    </row>
    <row r="10" spans="1:21" x14ac:dyDescent="0.3">
      <c r="A10" s="1">
        <v>10</v>
      </c>
      <c r="B10" s="2">
        <v>8726</v>
      </c>
      <c r="C10" s="2">
        <v>267417</v>
      </c>
      <c r="D10" s="1">
        <v>226</v>
      </c>
      <c r="E10" s="1">
        <v>305</v>
      </c>
      <c r="G10" s="1" t="s">
        <v>6</v>
      </c>
      <c r="H10" s="1">
        <f>C25</f>
        <v>275048</v>
      </c>
      <c r="I10" s="1">
        <f>C26</f>
        <v>269937</v>
      </c>
      <c r="J10" s="1">
        <f>C27</f>
        <v>270675</v>
      </c>
      <c r="K10" s="1">
        <f>C28</f>
        <v>270873</v>
      </c>
      <c r="L10" s="1">
        <f>C61</f>
        <v>155556</v>
      </c>
      <c r="M10" s="1">
        <f>C62</f>
        <v>122571</v>
      </c>
      <c r="N10" s="1">
        <f>C63</f>
        <v>122492</v>
      </c>
      <c r="O10" s="1">
        <f>C64</f>
        <v>122484</v>
      </c>
      <c r="Q10" s="1">
        <f t="shared" si="4"/>
        <v>4553</v>
      </c>
      <c r="R10" s="1">
        <f t="shared" si="5"/>
        <v>33040.333333333328</v>
      </c>
      <c r="T10" s="1">
        <f t="shared" si="6"/>
        <v>7.256827000512482</v>
      </c>
      <c r="U10" s="1">
        <f t="shared" si="7"/>
        <v>2.743172999487518</v>
      </c>
    </row>
    <row r="11" spans="1:21" x14ac:dyDescent="0.3">
      <c r="A11" s="1">
        <v>11</v>
      </c>
      <c r="B11" s="2">
        <v>8726</v>
      </c>
      <c r="C11" s="2">
        <v>267917</v>
      </c>
      <c r="D11" s="1">
        <v>224</v>
      </c>
      <c r="E11" s="1">
        <v>330</v>
      </c>
      <c r="G11" s="1" t="s">
        <v>7</v>
      </c>
      <c r="H11" s="1">
        <f>C29</f>
        <v>292515</v>
      </c>
      <c r="I11" s="1">
        <f>C30</f>
        <v>265779</v>
      </c>
      <c r="J11" s="1">
        <f>C31</f>
        <v>270441</v>
      </c>
      <c r="K11" s="1">
        <f>C32</f>
        <v>275103</v>
      </c>
      <c r="L11" s="1">
        <f>C65</f>
        <v>175309</v>
      </c>
      <c r="M11" s="1">
        <f>C66</f>
        <v>124044</v>
      </c>
      <c r="N11" s="1">
        <f>C67</f>
        <v>123368</v>
      </c>
      <c r="O11" s="1">
        <f>C68</f>
        <v>123191</v>
      </c>
      <c r="Q11" s="1">
        <f t="shared" si="4"/>
        <v>22074</v>
      </c>
      <c r="R11" s="1">
        <f t="shared" si="5"/>
        <v>51774.666666666672</v>
      </c>
      <c r="T11" s="1">
        <f t="shared" si="6"/>
        <v>2.3455045151158229</v>
      </c>
      <c r="U11" s="1">
        <f t="shared" si="7"/>
        <v>7.6544954848841771</v>
      </c>
    </row>
    <row r="12" spans="1:21" x14ac:dyDescent="0.3">
      <c r="A12" s="1">
        <v>12</v>
      </c>
      <c r="B12" s="2">
        <v>8726</v>
      </c>
      <c r="C12" s="2">
        <v>271405</v>
      </c>
      <c r="D12" s="1">
        <v>241</v>
      </c>
      <c r="E12" s="1">
        <v>335</v>
      </c>
      <c r="G12" s="1" t="s">
        <v>8</v>
      </c>
      <c r="H12" s="1">
        <f>C33</f>
        <v>290721</v>
      </c>
      <c r="I12" s="1">
        <f>C34</f>
        <v>275515</v>
      </c>
      <c r="J12" s="1">
        <f>C35</f>
        <v>276250</v>
      </c>
      <c r="K12" s="1">
        <f>C36</f>
        <v>276118</v>
      </c>
      <c r="L12" s="1">
        <f>C69</f>
        <v>165176</v>
      </c>
      <c r="M12" s="1">
        <f>C70</f>
        <v>123103</v>
      </c>
      <c r="N12" s="1">
        <f>C71</f>
        <v>124382</v>
      </c>
      <c r="O12" s="1">
        <f>C72</f>
        <v>123838</v>
      </c>
      <c r="Q12" s="1">
        <f t="shared" si="4"/>
        <v>14760</v>
      </c>
      <c r="R12" s="1">
        <f t="shared" si="5"/>
        <v>41401.666666666672</v>
      </c>
      <c r="T12" s="1">
        <f t="shared" si="6"/>
        <v>2.8049909665763328</v>
      </c>
      <c r="U12" s="1">
        <f t="shared" si="7"/>
        <v>7.1950090334236672</v>
      </c>
    </row>
    <row r="13" spans="1:21" x14ac:dyDescent="0.3">
      <c r="A13" s="1">
        <v>13</v>
      </c>
      <c r="B13" s="2">
        <v>10596</v>
      </c>
      <c r="C13" s="2">
        <v>298853</v>
      </c>
      <c r="D13" s="1">
        <v>249</v>
      </c>
      <c r="E13" s="1">
        <v>352</v>
      </c>
    </row>
    <row r="14" spans="1:21" x14ac:dyDescent="0.3">
      <c r="A14" s="1">
        <v>14</v>
      </c>
      <c r="B14" s="2">
        <v>10596</v>
      </c>
      <c r="C14" s="2">
        <v>267578</v>
      </c>
      <c r="D14" s="1">
        <v>215</v>
      </c>
      <c r="E14" s="1">
        <v>331</v>
      </c>
    </row>
    <row r="15" spans="1:21" x14ac:dyDescent="0.3">
      <c r="A15" s="1">
        <v>15</v>
      </c>
      <c r="B15" s="2">
        <v>10596</v>
      </c>
      <c r="C15" s="2">
        <v>271931</v>
      </c>
      <c r="D15" s="1">
        <v>227</v>
      </c>
      <c r="E15" s="1">
        <v>327</v>
      </c>
    </row>
    <row r="16" spans="1:21" x14ac:dyDescent="0.3">
      <c r="A16" s="1">
        <v>16</v>
      </c>
      <c r="B16" s="2">
        <v>10596</v>
      </c>
      <c r="C16" s="2">
        <v>266471</v>
      </c>
      <c r="D16" s="1">
        <v>219</v>
      </c>
      <c r="E16" s="1">
        <v>308</v>
      </c>
      <c r="G16" s="1" t="s">
        <v>21</v>
      </c>
    </row>
    <row r="17" spans="1:8" x14ac:dyDescent="0.3">
      <c r="A17" s="1">
        <v>17</v>
      </c>
      <c r="B17" s="2">
        <v>8934</v>
      </c>
      <c r="C17" s="2">
        <v>283988</v>
      </c>
      <c r="D17" s="1">
        <v>240</v>
      </c>
      <c r="E17" s="1">
        <v>337</v>
      </c>
    </row>
    <row r="18" spans="1:8" x14ac:dyDescent="0.3">
      <c r="A18" s="1">
        <v>18</v>
      </c>
      <c r="B18" s="2">
        <v>8934</v>
      </c>
      <c r="C18" s="2">
        <v>271302</v>
      </c>
      <c r="D18" s="1">
        <v>229</v>
      </c>
      <c r="E18" s="1">
        <v>329</v>
      </c>
      <c r="G18" s="1">
        <v>1</v>
      </c>
      <c r="H18" s="1" t="s">
        <v>22</v>
      </c>
    </row>
    <row r="19" spans="1:8" x14ac:dyDescent="0.3">
      <c r="A19" s="1">
        <v>19</v>
      </c>
      <c r="B19" s="2">
        <v>8934</v>
      </c>
      <c r="C19" s="2">
        <v>267058</v>
      </c>
      <c r="D19" s="1">
        <v>226</v>
      </c>
      <c r="E19" s="1">
        <v>307</v>
      </c>
      <c r="G19" s="1">
        <v>2</v>
      </c>
      <c r="H19" s="1" t="s">
        <v>23</v>
      </c>
    </row>
    <row r="20" spans="1:8" x14ac:dyDescent="0.3">
      <c r="A20" s="1">
        <v>20</v>
      </c>
      <c r="B20" s="2">
        <v>8934</v>
      </c>
      <c r="C20" s="2">
        <v>271884</v>
      </c>
      <c r="D20" s="1">
        <v>230</v>
      </c>
      <c r="E20" s="1">
        <v>323</v>
      </c>
      <c r="G20" s="1">
        <v>3</v>
      </c>
      <c r="H20" s="1" t="s">
        <v>25</v>
      </c>
    </row>
    <row r="21" spans="1:8" x14ac:dyDescent="0.3">
      <c r="A21" s="1">
        <v>21</v>
      </c>
      <c r="B21" s="2">
        <v>9973</v>
      </c>
      <c r="C21" s="2">
        <v>278625</v>
      </c>
      <c r="D21" s="1">
        <v>217</v>
      </c>
      <c r="E21" s="1">
        <v>333</v>
      </c>
      <c r="G21" s="1">
        <v>4</v>
      </c>
      <c r="H21" s="1" t="s">
        <v>24</v>
      </c>
    </row>
    <row r="22" spans="1:8" x14ac:dyDescent="0.3">
      <c r="A22" s="1">
        <v>22</v>
      </c>
      <c r="B22" s="2">
        <v>9973</v>
      </c>
      <c r="C22" s="2">
        <v>273229</v>
      </c>
      <c r="D22" s="1">
        <v>225</v>
      </c>
      <c r="E22" s="1">
        <v>316</v>
      </c>
      <c r="G22" s="1">
        <v>5</v>
      </c>
      <c r="H22" s="1" t="s">
        <v>26</v>
      </c>
    </row>
    <row r="23" spans="1:8" x14ac:dyDescent="0.3">
      <c r="A23" s="1">
        <v>23</v>
      </c>
      <c r="B23" s="2">
        <v>9973</v>
      </c>
      <c r="C23" s="2">
        <v>272604</v>
      </c>
      <c r="D23" s="1">
        <v>223</v>
      </c>
      <c r="E23" s="1">
        <v>307</v>
      </c>
      <c r="G23" s="1">
        <v>6</v>
      </c>
      <c r="H23" s="1" t="s">
        <v>27</v>
      </c>
    </row>
    <row r="24" spans="1:8" x14ac:dyDescent="0.3">
      <c r="A24" s="1">
        <v>24</v>
      </c>
      <c r="B24" s="2">
        <v>9973</v>
      </c>
      <c r="C24" s="2">
        <v>273562</v>
      </c>
      <c r="D24" s="1">
        <v>230</v>
      </c>
      <c r="E24" s="1">
        <v>327</v>
      </c>
      <c r="G24" s="1">
        <v>7</v>
      </c>
      <c r="H24" s="1" t="s">
        <v>28</v>
      </c>
    </row>
    <row r="25" spans="1:8" x14ac:dyDescent="0.3">
      <c r="A25" s="1">
        <v>25</v>
      </c>
      <c r="B25" s="2">
        <v>13089</v>
      </c>
      <c r="C25" s="2">
        <v>275048</v>
      </c>
      <c r="D25" s="1">
        <v>228</v>
      </c>
      <c r="E25" s="1">
        <v>329</v>
      </c>
      <c r="G25" s="1">
        <v>8</v>
      </c>
      <c r="H25" s="1" t="s">
        <v>29</v>
      </c>
    </row>
    <row r="26" spans="1:8" x14ac:dyDescent="0.3">
      <c r="A26" s="1">
        <v>26</v>
      </c>
      <c r="B26" s="2">
        <v>13089</v>
      </c>
      <c r="C26" s="2">
        <v>269937</v>
      </c>
      <c r="D26" s="1">
        <v>225</v>
      </c>
      <c r="E26" s="1">
        <v>328</v>
      </c>
      <c r="G26" s="1">
        <v>9</v>
      </c>
      <c r="H26" s="1" t="s">
        <v>30</v>
      </c>
    </row>
    <row r="27" spans="1:8" x14ac:dyDescent="0.3">
      <c r="A27" s="1">
        <v>27</v>
      </c>
      <c r="B27" s="2">
        <v>13089</v>
      </c>
      <c r="C27" s="2">
        <v>270675</v>
      </c>
      <c r="D27" s="1">
        <v>215</v>
      </c>
      <c r="E27" s="1">
        <v>324</v>
      </c>
      <c r="G27" s="1">
        <v>10</v>
      </c>
      <c r="H27" s="1" t="s">
        <v>31</v>
      </c>
    </row>
    <row r="28" spans="1:8" x14ac:dyDescent="0.3">
      <c r="A28" s="1">
        <v>28</v>
      </c>
      <c r="B28" s="2">
        <v>13089</v>
      </c>
      <c r="C28" s="2">
        <v>270873</v>
      </c>
      <c r="D28" s="1">
        <v>200</v>
      </c>
      <c r="E28" s="1">
        <v>330</v>
      </c>
      <c r="G28" s="1">
        <v>11</v>
      </c>
      <c r="H28" s="1" t="s">
        <v>32</v>
      </c>
    </row>
    <row r="29" spans="1:8" x14ac:dyDescent="0.3">
      <c r="A29" s="1">
        <v>29</v>
      </c>
      <c r="B29" s="2">
        <v>7064</v>
      </c>
      <c r="C29" s="2">
        <v>292515</v>
      </c>
      <c r="D29" s="1">
        <v>242</v>
      </c>
      <c r="E29" s="1">
        <v>333</v>
      </c>
      <c r="G29" s="1">
        <v>12</v>
      </c>
      <c r="H29" s="1" t="s">
        <v>33</v>
      </c>
    </row>
    <row r="30" spans="1:8" x14ac:dyDescent="0.3">
      <c r="A30" s="1">
        <v>30</v>
      </c>
      <c r="B30" s="2">
        <v>7064</v>
      </c>
      <c r="C30" s="2">
        <v>265779</v>
      </c>
      <c r="D30" s="1">
        <v>230</v>
      </c>
      <c r="E30" s="1">
        <v>300</v>
      </c>
      <c r="G30" s="1">
        <v>13</v>
      </c>
      <c r="H30" s="1" t="s">
        <v>34</v>
      </c>
    </row>
    <row r="31" spans="1:8" x14ac:dyDescent="0.3">
      <c r="A31" s="1">
        <v>31</v>
      </c>
      <c r="B31" s="2">
        <v>7064</v>
      </c>
      <c r="C31" s="2">
        <v>270441</v>
      </c>
      <c r="D31" s="1">
        <v>235</v>
      </c>
      <c r="E31" s="1">
        <v>318</v>
      </c>
      <c r="G31" s="1">
        <v>14</v>
      </c>
      <c r="H31" s="1" t="s">
        <v>35</v>
      </c>
    </row>
    <row r="32" spans="1:8" x14ac:dyDescent="0.3">
      <c r="A32" s="1">
        <v>32</v>
      </c>
      <c r="B32" s="2">
        <v>7064</v>
      </c>
      <c r="C32" s="2">
        <v>275103</v>
      </c>
      <c r="D32" s="1">
        <v>209</v>
      </c>
      <c r="E32" s="1">
        <v>322</v>
      </c>
      <c r="G32" s="1">
        <v>15</v>
      </c>
      <c r="H32" s="1" t="s">
        <v>36</v>
      </c>
    </row>
    <row r="33" spans="1:8" x14ac:dyDescent="0.3">
      <c r="A33" s="1">
        <v>33</v>
      </c>
      <c r="B33" s="2">
        <v>7064</v>
      </c>
      <c r="C33" s="2">
        <v>290721</v>
      </c>
      <c r="D33" s="1">
        <v>230</v>
      </c>
      <c r="E33" s="1">
        <v>360</v>
      </c>
      <c r="G33" s="1">
        <v>16</v>
      </c>
      <c r="H33" s="1" t="s">
        <v>37</v>
      </c>
    </row>
    <row r="34" spans="1:8" x14ac:dyDescent="0.3">
      <c r="A34" s="1">
        <v>34</v>
      </c>
      <c r="B34" s="2">
        <v>7064</v>
      </c>
      <c r="C34" s="2">
        <v>275515</v>
      </c>
      <c r="D34" s="1">
        <v>235</v>
      </c>
      <c r="E34" s="1">
        <v>336</v>
      </c>
      <c r="H34" s="1" t="s">
        <v>38</v>
      </c>
    </row>
    <row r="35" spans="1:8" x14ac:dyDescent="0.3">
      <c r="A35" s="1">
        <v>35</v>
      </c>
      <c r="B35" s="2">
        <v>7064</v>
      </c>
      <c r="C35" s="2">
        <v>276250</v>
      </c>
      <c r="D35" s="1">
        <v>246</v>
      </c>
      <c r="E35" s="1">
        <v>321</v>
      </c>
      <c r="G35" s="1">
        <v>69</v>
      </c>
      <c r="H35" s="1" t="s">
        <v>39</v>
      </c>
    </row>
    <row r="36" spans="1:8" x14ac:dyDescent="0.3">
      <c r="A36" s="1">
        <v>36</v>
      </c>
      <c r="B36" s="2">
        <v>7064</v>
      </c>
      <c r="C36" s="2">
        <v>276118</v>
      </c>
      <c r="D36" s="1">
        <v>238</v>
      </c>
      <c r="E36" s="1">
        <v>318</v>
      </c>
    </row>
    <row r="37" spans="1:8" x14ac:dyDescent="0.3">
      <c r="A37" s="1">
        <v>37</v>
      </c>
      <c r="B37" s="2">
        <v>6233</v>
      </c>
      <c r="C37" s="2">
        <v>181050</v>
      </c>
      <c r="D37" s="1">
        <v>131</v>
      </c>
      <c r="E37" s="1">
        <v>233</v>
      </c>
    </row>
    <row r="38" spans="1:8" x14ac:dyDescent="0.3">
      <c r="A38" s="1">
        <v>38</v>
      </c>
      <c r="B38" s="2">
        <v>6233</v>
      </c>
      <c r="C38" s="2">
        <v>123350</v>
      </c>
      <c r="D38" s="1">
        <v>108</v>
      </c>
      <c r="E38" s="1">
        <v>147</v>
      </c>
    </row>
    <row r="39" spans="1:8" x14ac:dyDescent="0.3">
      <c r="A39" s="1">
        <v>39</v>
      </c>
      <c r="B39" s="2">
        <v>6233</v>
      </c>
      <c r="C39" s="2">
        <v>123183</v>
      </c>
      <c r="D39" s="1">
        <v>83</v>
      </c>
      <c r="E39" s="1">
        <v>148</v>
      </c>
    </row>
    <row r="40" spans="1:8" x14ac:dyDescent="0.3">
      <c r="A40" s="1">
        <v>40</v>
      </c>
      <c r="B40" s="2">
        <v>6233</v>
      </c>
      <c r="C40" s="2">
        <v>122950</v>
      </c>
      <c r="D40" s="1">
        <v>110</v>
      </c>
      <c r="E40" s="1">
        <v>140</v>
      </c>
    </row>
    <row r="41" spans="1:8" x14ac:dyDescent="0.3">
      <c r="A41" s="1">
        <v>41</v>
      </c>
      <c r="B41" s="2">
        <v>7168</v>
      </c>
      <c r="C41" s="2">
        <v>135319</v>
      </c>
      <c r="D41" s="1">
        <v>108</v>
      </c>
      <c r="E41" s="1">
        <v>159</v>
      </c>
    </row>
    <row r="42" spans="1:8" x14ac:dyDescent="0.3">
      <c r="A42" s="1">
        <v>42</v>
      </c>
      <c r="B42" s="2">
        <v>7168</v>
      </c>
      <c r="C42" s="2">
        <v>122304</v>
      </c>
      <c r="D42" s="1">
        <v>104</v>
      </c>
      <c r="E42" s="1">
        <v>139</v>
      </c>
    </row>
    <row r="43" spans="1:8" x14ac:dyDescent="0.3">
      <c r="A43" s="1">
        <v>43</v>
      </c>
      <c r="B43" s="2">
        <v>7168</v>
      </c>
      <c r="C43" s="2">
        <v>123145</v>
      </c>
      <c r="D43" s="1">
        <v>107</v>
      </c>
      <c r="E43" s="1">
        <v>138</v>
      </c>
    </row>
    <row r="44" spans="1:8" x14ac:dyDescent="0.3">
      <c r="A44" s="1">
        <v>44</v>
      </c>
      <c r="B44" s="2">
        <v>7168</v>
      </c>
      <c r="C44" s="2">
        <v>122710</v>
      </c>
      <c r="D44" s="1">
        <v>109</v>
      </c>
      <c r="E44" s="1">
        <v>147</v>
      </c>
    </row>
    <row r="45" spans="1:8" x14ac:dyDescent="0.3">
      <c r="A45" s="1">
        <v>45</v>
      </c>
      <c r="B45" s="2">
        <v>8726</v>
      </c>
      <c r="C45" s="2">
        <v>209905</v>
      </c>
      <c r="D45" s="1">
        <v>157</v>
      </c>
      <c r="E45" s="1">
        <v>273</v>
      </c>
    </row>
    <row r="46" spans="1:8" x14ac:dyDescent="0.3">
      <c r="A46" s="1">
        <v>46</v>
      </c>
      <c r="B46" s="2">
        <v>8726</v>
      </c>
      <c r="C46" s="2">
        <v>121607</v>
      </c>
      <c r="D46" s="1">
        <v>105</v>
      </c>
      <c r="E46" s="1">
        <v>132</v>
      </c>
    </row>
    <row r="47" spans="1:8" x14ac:dyDescent="0.3">
      <c r="A47" s="1">
        <v>47</v>
      </c>
      <c r="B47" s="2">
        <v>8726</v>
      </c>
      <c r="C47" s="2">
        <v>122643</v>
      </c>
      <c r="D47" s="1">
        <v>97</v>
      </c>
      <c r="E47" s="1">
        <v>138</v>
      </c>
    </row>
    <row r="48" spans="1:8" x14ac:dyDescent="0.3">
      <c r="A48" s="1">
        <v>48</v>
      </c>
      <c r="B48" s="2">
        <v>8726</v>
      </c>
      <c r="C48" s="2">
        <v>123524</v>
      </c>
      <c r="D48" s="1">
        <v>104</v>
      </c>
      <c r="E48" s="1">
        <v>140</v>
      </c>
    </row>
    <row r="49" spans="1:5" x14ac:dyDescent="0.3">
      <c r="A49" s="1">
        <v>49</v>
      </c>
      <c r="B49" s="2">
        <v>10596</v>
      </c>
      <c r="C49" s="2">
        <v>199804</v>
      </c>
      <c r="D49" s="1">
        <v>154</v>
      </c>
      <c r="E49" s="1">
        <v>257</v>
      </c>
    </row>
    <row r="50" spans="1:5" x14ac:dyDescent="0.3">
      <c r="A50" s="1">
        <v>50</v>
      </c>
      <c r="B50" s="2">
        <v>10596</v>
      </c>
      <c r="C50" s="2">
        <v>122873</v>
      </c>
      <c r="D50" s="1">
        <v>104</v>
      </c>
      <c r="E50" s="1">
        <v>141</v>
      </c>
    </row>
    <row r="51" spans="1:5" x14ac:dyDescent="0.3">
      <c r="A51" s="1">
        <v>51</v>
      </c>
      <c r="B51" s="2">
        <v>10596</v>
      </c>
      <c r="C51" s="2">
        <v>122814</v>
      </c>
      <c r="D51" s="1">
        <v>108</v>
      </c>
      <c r="E51" s="1">
        <v>146</v>
      </c>
    </row>
    <row r="52" spans="1:5" x14ac:dyDescent="0.3">
      <c r="A52" s="1">
        <v>52</v>
      </c>
      <c r="B52" s="2">
        <v>10596</v>
      </c>
      <c r="C52" s="2">
        <v>122608</v>
      </c>
      <c r="D52" s="1">
        <v>97</v>
      </c>
      <c r="E52" s="1">
        <v>141</v>
      </c>
    </row>
    <row r="53" spans="1:5" x14ac:dyDescent="0.3">
      <c r="A53" s="1">
        <v>53</v>
      </c>
      <c r="B53" s="2">
        <v>8934</v>
      </c>
      <c r="C53" s="2">
        <v>174453</v>
      </c>
      <c r="D53" s="1">
        <v>128</v>
      </c>
      <c r="E53" s="1">
        <v>223</v>
      </c>
    </row>
    <row r="54" spans="1:5" x14ac:dyDescent="0.3">
      <c r="A54" s="1">
        <v>54</v>
      </c>
      <c r="B54" s="2">
        <v>8934</v>
      </c>
      <c r="C54" s="2">
        <v>123698</v>
      </c>
      <c r="D54" s="1">
        <v>105</v>
      </c>
      <c r="E54" s="1">
        <v>146</v>
      </c>
    </row>
    <row r="55" spans="1:5" x14ac:dyDescent="0.3">
      <c r="A55" s="1">
        <v>55</v>
      </c>
      <c r="B55" s="2">
        <v>8934</v>
      </c>
      <c r="C55" s="2">
        <v>122791</v>
      </c>
      <c r="D55" s="1">
        <v>108</v>
      </c>
      <c r="E55" s="1">
        <v>140</v>
      </c>
    </row>
    <row r="56" spans="1:5" x14ac:dyDescent="0.3">
      <c r="A56" s="1">
        <v>56</v>
      </c>
      <c r="B56" s="2">
        <v>8934</v>
      </c>
      <c r="C56" s="2">
        <v>121209</v>
      </c>
      <c r="D56" s="1">
        <v>101</v>
      </c>
      <c r="E56" s="1">
        <v>136</v>
      </c>
    </row>
    <row r="57" spans="1:5" x14ac:dyDescent="0.3">
      <c r="A57" s="1">
        <v>57</v>
      </c>
      <c r="B57" s="2">
        <v>9973</v>
      </c>
      <c r="C57" s="2">
        <v>158646</v>
      </c>
      <c r="D57" s="1">
        <v>127</v>
      </c>
      <c r="E57" s="1">
        <v>193</v>
      </c>
    </row>
    <row r="58" spans="1:5" x14ac:dyDescent="0.3">
      <c r="A58" s="1">
        <v>58</v>
      </c>
      <c r="B58" s="2">
        <v>9973</v>
      </c>
      <c r="C58" s="2">
        <v>123281</v>
      </c>
      <c r="D58" s="1">
        <v>108</v>
      </c>
      <c r="E58" s="1">
        <v>139</v>
      </c>
    </row>
    <row r="59" spans="1:5" x14ac:dyDescent="0.3">
      <c r="A59" s="1">
        <v>59</v>
      </c>
      <c r="B59" s="2">
        <v>9973</v>
      </c>
      <c r="C59" s="2">
        <v>123521</v>
      </c>
      <c r="D59" s="1">
        <v>108</v>
      </c>
      <c r="E59" s="1">
        <v>143</v>
      </c>
    </row>
    <row r="60" spans="1:5" x14ac:dyDescent="0.3">
      <c r="A60" s="1">
        <v>60</v>
      </c>
      <c r="B60" s="2">
        <v>9973</v>
      </c>
      <c r="C60" s="2">
        <v>122500</v>
      </c>
      <c r="D60" s="1">
        <v>101</v>
      </c>
      <c r="E60" s="1">
        <v>144</v>
      </c>
    </row>
    <row r="61" spans="1:5" x14ac:dyDescent="0.3">
      <c r="A61" s="1">
        <v>61</v>
      </c>
      <c r="B61" s="2">
        <v>13089</v>
      </c>
      <c r="C61" s="2">
        <v>155556</v>
      </c>
      <c r="D61" s="1">
        <v>122</v>
      </c>
      <c r="E61" s="1">
        <v>211</v>
      </c>
    </row>
    <row r="62" spans="1:5" x14ac:dyDescent="0.3">
      <c r="A62" s="1">
        <v>62</v>
      </c>
      <c r="B62" s="2">
        <v>13089</v>
      </c>
      <c r="C62" s="2">
        <v>122571</v>
      </c>
      <c r="D62" s="1">
        <v>98</v>
      </c>
      <c r="E62" s="1">
        <v>151</v>
      </c>
    </row>
    <row r="63" spans="1:5" x14ac:dyDescent="0.3">
      <c r="A63" s="1">
        <v>63</v>
      </c>
      <c r="B63" s="2">
        <v>13089</v>
      </c>
      <c r="C63" s="2">
        <v>122492</v>
      </c>
      <c r="D63" s="1">
        <v>107</v>
      </c>
      <c r="E63" s="1">
        <v>143</v>
      </c>
    </row>
    <row r="64" spans="1:5" x14ac:dyDescent="0.3">
      <c r="A64" s="1">
        <v>64</v>
      </c>
      <c r="B64" s="2">
        <v>13089</v>
      </c>
      <c r="C64" s="2">
        <v>122484</v>
      </c>
      <c r="D64" s="1">
        <v>104</v>
      </c>
      <c r="E64" s="1">
        <v>152</v>
      </c>
    </row>
    <row r="65" spans="1:5" x14ac:dyDescent="0.3">
      <c r="A65" s="1">
        <v>65</v>
      </c>
      <c r="B65" s="2">
        <v>7064</v>
      </c>
      <c r="C65" s="2">
        <v>175309</v>
      </c>
      <c r="D65" s="1">
        <v>132</v>
      </c>
      <c r="E65" s="1">
        <v>231</v>
      </c>
    </row>
    <row r="66" spans="1:5" x14ac:dyDescent="0.3">
      <c r="A66" s="1">
        <v>66</v>
      </c>
      <c r="B66" s="2">
        <v>7064</v>
      </c>
      <c r="C66" s="2">
        <v>124044</v>
      </c>
      <c r="D66" s="1">
        <v>106</v>
      </c>
      <c r="E66" s="1">
        <v>144</v>
      </c>
    </row>
    <row r="67" spans="1:5" x14ac:dyDescent="0.3">
      <c r="A67" s="1">
        <v>67</v>
      </c>
      <c r="B67" s="2">
        <v>7064</v>
      </c>
      <c r="C67" s="2">
        <v>123368</v>
      </c>
      <c r="D67" s="1">
        <v>101</v>
      </c>
      <c r="E67" s="1">
        <v>136</v>
      </c>
    </row>
    <row r="68" spans="1:5" x14ac:dyDescent="0.3">
      <c r="A68" s="1">
        <v>68</v>
      </c>
      <c r="B68" s="2">
        <v>7064</v>
      </c>
      <c r="C68" s="2">
        <v>123191</v>
      </c>
      <c r="D68" s="1">
        <v>101</v>
      </c>
      <c r="E68" s="1">
        <v>138</v>
      </c>
    </row>
    <row r="69" spans="1:5" x14ac:dyDescent="0.3">
      <c r="A69" s="1">
        <v>69</v>
      </c>
      <c r="B69" s="2">
        <v>7064</v>
      </c>
      <c r="C69" s="2">
        <v>165176</v>
      </c>
      <c r="D69" s="1">
        <v>137</v>
      </c>
      <c r="E69" s="1">
        <v>203</v>
      </c>
    </row>
    <row r="70" spans="1:5" x14ac:dyDescent="0.3">
      <c r="A70" s="1">
        <v>70</v>
      </c>
      <c r="B70" s="2">
        <v>7064</v>
      </c>
      <c r="C70" s="2">
        <v>123103</v>
      </c>
      <c r="D70" s="1">
        <v>109</v>
      </c>
      <c r="E70" s="1">
        <v>143</v>
      </c>
    </row>
    <row r="71" spans="1:5" x14ac:dyDescent="0.3">
      <c r="A71" s="1">
        <v>71</v>
      </c>
      <c r="B71" s="2">
        <v>7064</v>
      </c>
      <c r="C71" s="2">
        <v>124382</v>
      </c>
      <c r="D71" s="1">
        <v>103</v>
      </c>
      <c r="E71" s="1">
        <v>149</v>
      </c>
    </row>
    <row r="72" spans="1:5" x14ac:dyDescent="0.3">
      <c r="A72" s="1">
        <v>72</v>
      </c>
      <c r="B72" s="2">
        <v>7064</v>
      </c>
      <c r="C72" s="2">
        <v>123838</v>
      </c>
      <c r="D72" s="1">
        <v>102</v>
      </c>
      <c r="E72" s="1">
        <v>141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UMMD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Andreas</dc:creator>
  <cp:lastModifiedBy>Baars, Iris</cp:lastModifiedBy>
  <dcterms:created xsi:type="dcterms:W3CDTF">2021-10-07T12:44:27Z</dcterms:created>
  <dcterms:modified xsi:type="dcterms:W3CDTF">2022-02-23T21:19:12Z</dcterms:modified>
</cp:coreProperties>
</file>