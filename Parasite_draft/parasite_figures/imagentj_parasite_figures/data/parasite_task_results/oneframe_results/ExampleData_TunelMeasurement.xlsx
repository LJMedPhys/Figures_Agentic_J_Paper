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AG Müller\Manuscript_Data\Baars_et_al_Apoptosis\Figures\Widefield_Apoptosis\WidefieldExample_20210728_Position40\"/>
    </mc:Choice>
  </mc:AlternateContent>
  <bookViews>
    <workbookView xWindow="0" yWindow="0" windowWidth="19605" windowHeight="1060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M2" i="1"/>
  <c r="L2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<sst xmlns="http://schemas.openxmlformats.org/spreadsheetml/2006/main" count="10" uniqueCount="10">
  <si>
    <t>ROI</t>
  </si>
  <si>
    <t>Background</t>
  </si>
  <si>
    <t>Area</t>
  </si>
  <si>
    <t>Green</t>
  </si>
  <si>
    <t>X</t>
  </si>
  <si>
    <t>Y</t>
  </si>
  <si>
    <t>Corrected green:</t>
  </si>
  <si>
    <t>TUNEL+</t>
  </si>
  <si>
    <t>Tunel+</t>
  </si>
  <si>
    <t>Tunel-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</si>
</sst>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tabSelected="1" workbookViewId="0">
      <selection activeCell="L2" sqref="L2:M7"/>
    </sheetView>
  </sheetViews>
  <sheetFormatPr baseColWidth="10" defaultRowHeight="15" x14ac:dyDescent="0.25"/>
  <sheetData>
    <row r="1" spans="2:13" x14ac:dyDescent="0.25">
      <c r="B1" t="s">
        <v>0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M1" t="s">
        <v>9</v>
      </c>
    </row>
    <row r="2" spans="2:13" x14ac:dyDescent="0.25">
      <c r="B2">
        <v>1</v>
      </c>
      <c r="C2">
        <v>73.27</v>
      </c>
      <c r="D2">
        <v>197.50299999999999</v>
      </c>
      <c r="E2">
        <v>117.328</v>
      </c>
      <c r="F2">
        <v>14.138999999999999</v>
      </c>
      <c r="H2">
        <f>D2-AVERAGE(D$11:D$18)</f>
        <v>7.2324999999999875</v>
      </c>
      <c r="L2" t="str">
        <f>IF(J2=1,H2,"")</f>
        <v/>
      </c>
      <c r="M2">
        <f>IF(J2=1,"",H2)</f>
        <v>7.2324999999999875</v>
      </c>
    </row>
    <row r="3" spans="2:13" x14ac:dyDescent="0.25">
      <c r="B3">
        <v>2</v>
      </c>
      <c r="C3">
        <v>72.647999999999996</v>
      </c>
      <c r="D3">
        <v>197.88399999999999</v>
      </c>
      <c r="E3">
        <v>123.721</v>
      </c>
      <c r="F3">
        <v>53.874000000000002</v>
      </c>
      <c r="H3">
        <f t="shared" ref="H3:H7" si="0">D3-AVERAGE(D$11:D$18)</f>
        <v>7.6134999999999877</v>
      </c>
      <c r="L3" t="str">
        <f t="shared" ref="L3:L7" si="1">IF(J3=1,H3,"")</f>
        <v/>
      </c>
      <c r="M3">
        <f t="shared" ref="M3:M7" si="2">IF(J3=1,"",H3)</f>
        <v>7.6134999999999877</v>
      </c>
    </row>
    <row r="4" spans="2:13" x14ac:dyDescent="0.25">
      <c r="B4">
        <v>3</v>
      </c>
      <c r="C4">
        <v>126.926</v>
      </c>
      <c r="D4">
        <v>208.78700000000001</v>
      </c>
      <c r="E4">
        <v>62.156999999999996</v>
      </c>
      <c r="F4">
        <v>110.002</v>
      </c>
      <c r="H4">
        <f t="shared" si="0"/>
        <v>18.516500000000008</v>
      </c>
      <c r="J4">
        <v>1</v>
      </c>
      <c r="L4">
        <f t="shared" si="1"/>
        <v>18.516500000000008</v>
      </c>
      <c r="M4" t="str">
        <f t="shared" si="2"/>
        <v/>
      </c>
    </row>
    <row r="5" spans="2:13" x14ac:dyDescent="0.25">
      <c r="B5">
        <v>4</v>
      </c>
      <c r="C5">
        <v>78.355999999999995</v>
      </c>
      <c r="D5">
        <v>195.935</v>
      </c>
      <c r="E5">
        <v>26.869</v>
      </c>
      <c r="F5">
        <v>127.61499999999999</v>
      </c>
      <c r="H5">
        <f t="shared" si="0"/>
        <v>5.6645000000000039</v>
      </c>
      <c r="L5" t="str">
        <f t="shared" si="1"/>
        <v/>
      </c>
      <c r="M5">
        <f t="shared" si="2"/>
        <v>5.6645000000000039</v>
      </c>
    </row>
    <row r="6" spans="2:13" x14ac:dyDescent="0.25">
      <c r="B6">
        <v>5</v>
      </c>
      <c r="C6">
        <v>75.45</v>
      </c>
      <c r="D6">
        <v>200.172</v>
      </c>
      <c r="E6">
        <v>163.93100000000001</v>
      </c>
      <c r="F6">
        <v>148.709</v>
      </c>
      <c r="H6">
        <f t="shared" si="0"/>
        <v>9.9014999999999986</v>
      </c>
      <c r="L6" t="str">
        <f t="shared" si="1"/>
        <v/>
      </c>
      <c r="M6">
        <f t="shared" si="2"/>
        <v>9.9014999999999986</v>
      </c>
    </row>
    <row r="7" spans="2:13" x14ac:dyDescent="0.25">
      <c r="B7">
        <v>6</v>
      </c>
      <c r="C7">
        <v>71.506</v>
      </c>
      <c r="D7">
        <v>203.83199999999999</v>
      </c>
      <c r="E7">
        <v>154.845</v>
      </c>
      <c r="F7">
        <v>171.90600000000001</v>
      </c>
      <c r="H7">
        <f t="shared" si="0"/>
        <v>13.561499999999995</v>
      </c>
      <c r="J7">
        <v>1</v>
      </c>
      <c r="L7">
        <f t="shared" si="1"/>
        <v>13.561499999999995</v>
      </c>
      <c r="M7" t="str">
        <f t="shared" si="2"/>
        <v/>
      </c>
    </row>
    <row r="10" spans="2:13" x14ac:dyDescent="0.25">
      <c r="B10" t="s">
        <v>1</v>
      </c>
    </row>
    <row r="11" spans="2:13" x14ac:dyDescent="0.25">
      <c r="B11">
        <v>7</v>
      </c>
      <c r="C11">
        <v>263.815</v>
      </c>
      <c r="D11">
        <v>189.34700000000001</v>
      </c>
      <c r="E11">
        <v>32.215000000000003</v>
      </c>
      <c r="F11">
        <v>17.879000000000001</v>
      </c>
    </row>
    <row r="12" spans="2:13" x14ac:dyDescent="0.25">
      <c r="B12">
        <v>8</v>
      </c>
      <c r="C12">
        <v>367.18299999999999</v>
      </c>
      <c r="D12">
        <v>190.93799999999999</v>
      </c>
      <c r="E12">
        <v>33.343000000000004</v>
      </c>
      <c r="F12">
        <v>48.323</v>
      </c>
    </row>
    <row r="13" spans="2:13" x14ac:dyDescent="0.25">
      <c r="B13">
        <v>9</v>
      </c>
      <c r="C13">
        <v>189.29900000000001</v>
      </c>
      <c r="D13">
        <v>190.62</v>
      </c>
      <c r="E13">
        <v>34.792999999999999</v>
      </c>
      <c r="F13">
        <v>79.572000000000003</v>
      </c>
    </row>
    <row r="14" spans="2:13" x14ac:dyDescent="0.25">
      <c r="B14">
        <v>10</v>
      </c>
      <c r="C14">
        <v>310.20600000000002</v>
      </c>
      <c r="D14">
        <v>190.01900000000001</v>
      </c>
      <c r="E14">
        <v>69.424000000000007</v>
      </c>
      <c r="F14">
        <v>157.69399999999999</v>
      </c>
    </row>
    <row r="15" spans="2:13" x14ac:dyDescent="0.25">
      <c r="B15">
        <v>11</v>
      </c>
      <c r="C15">
        <v>493.17399999999998</v>
      </c>
      <c r="D15">
        <v>190.31700000000001</v>
      </c>
      <c r="E15">
        <v>114.364</v>
      </c>
      <c r="F15">
        <v>110.176</v>
      </c>
    </row>
    <row r="16" spans="2:13" x14ac:dyDescent="0.25">
      <c r="B16">
        <v>12</v>
      </c>
      <c r="C16">
        <v>366.14499999999998</v>
      </c>
      <c r="D16">
        <v>190.80600000000001</v>
      </c>
      <c r="E16">
        <v>79.088999999999999</v>
      </c>
      <c r="F16">
        <v>48.323</v>
      </c>
    </row>
    <row r="17" spans="2:6" x14ac:dyDescent="0.25">
      <c r="B17">
        <v>13</v>
      </c>
      <c r="C17">
        <v>405.27100000000002</v>
      </c>
      <c r="D17">
        <v>189.715</v>
      </c>
      <c r="E17">
        <v>164.459</v>
      </c>
      <c r="F17">
        <v>23.678000000000001</v>
      </c>
    </row>
    <row r="18" spans="2:6" x14ac:dyDescent="0.25">
      <c r="B18">
        <v>14</v>
      </c>
      <c r="C18">
        <v>379.84399999999999</v>
      </c>
      <c r="D18">
        <v>190.40199999999999</v>
      </c>
      <c r="E18">
        <v>162.68700000000001</v>
      </c>
      <c r="F18">
        <v>76.510999999999996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UMMD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Müller, Andreas</dc:creator>
  <cp:lastModifiedBy>Müller, Andreas</cp:lastModifiedBy>
  <dcterms:created xsi:type="dcterms:W3CDTF">2021-11-16T14:53:54Z</dcterms:created>
  <dcterms:modified xsi:type="dcterms:W3CDTF">2021-11-16T15:04:21Z</dcterms:modified>
</cp:coreProperties>
</file>